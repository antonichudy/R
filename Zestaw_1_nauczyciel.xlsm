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vbaProject.bin" ContentType="application/vnd.ms-office.vbaProject"/>
  <Override PartName="/xl/drawings/drawing1.xml" ContentType="application/vnd.openxmlformats-officedocument.drawing+xml"/>
  <Override PartName="/xl/ink/ink1.xml" ContentType="application/inkml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PRACA\MiNI PW\WDMFiU\2024Z_Lab_WDMFiU\Nasze pliki\(+) Lab01 - JA\"/>
    </mc:Choice>
  </mc:AlternateContent>
  <xr:revisionPtr revIDLastSave="0" documentId="13_ncr:1_{5191091A-E1A7-4F75-8DFE-0FA730C46C12}" xr6:coauthVersionLast="47" xr6:coauthVersionMax="47" xr10:uidLastSave="{00000000-0000-0000-0000-000000000000}"/>
  <bookViews>
    <workbookView xWindow="-108" yWindow="-108" windowWidth="23256" windowHeight="12576" activeTab="6" xr2:uid="{BB7C504E-07FD-4F3F-BE1B-F94B613E06C2}"/>
  </bookViews>
  <sheets>
    <sheet name="Zadanie 1.1" sheetId="2" r:id="rId1"/>
    <sheet name="Zadanie 1.2" sheetId="3" r:id="rId2"/>
    <sheet name="Zadanie 1.3" sheetId="4" r:id="rId3"/>
    <sheet name="Zadanie 1.4" sheetId="5" r:id="rId4"/>
    <sheet name="Zadanie 1.5" sheetId="6" r:id="rId5"/>
    <sheet name="Zadanie 1.6" sheetId="7" r:id="rId6"/>
    <sheet name="Zadanie 1.7" sheetId="8" r:id="rId7"/>
    <sheet name="Zadanie 1.8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8" l="1"/>
  <c r="A10" i="8"/>
  <c r="B14" i="8"/>
  <c r="A14" i="8"/>
  <c r="B3" i="3"/>
  <c r="B4" i="3"/>
  <c r="A17" i="9"/>
  <c r="A16" i="9"/>
  <c r="B11" i="9"/>
  <c r="B10" i="9"/>
  <c r="C10" i="7"/>
  <c r="C11" i="7"/>
  <c r="C12" i="7"/>
  <c r="C13" i="7"/>
  <c r="C14" i="7"/>
  <c r="C15" i="7"/>
  <c r="C16" i="7"/>
  <c r="C9" i="7"/>
  <c r="B4" i="6"/>
  <c r="F11" i="5"/>
  <c r="B11" i="5"/>
  <c r="F10" i="5"/>
  <c r="B10" i="5"/>
  <c r="F9" i="5"/>
  <c r="B9" i="5"/>
  <c r="F8" i="5"/>
  <c r="B8" i="5"/>
  <c r="F7" i="5"/>
  <c r="B7" i="5"/>
  <c r="F6" i="5"/>
  <c r="B6" i="5"/>
  <c r="B5" i="5"/>
  <c r="B6" i="4"/>
  <c r="B8" i="2"/>
  <c r="B6" i="2"/>
  <c r="C6" i="2"/>
  <c r="C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polawski dawid</author>
  </authors>
  <commentList>
    <comment ref="C6" authorId="0" shapeId="0" xr:uid="{C3A678A6-621B-4D6D-8688-01AEF3850F08}">
      <text>
        <r>
          <rPr>
            <sz val="9"/>
            <color indexed="81"/>
            <rFont val="Tahoma"/>
            <family val="2"/>
          </rPr>
          <t xml:space="preserve">Obliczone nasza funkcją w VBA - "lokata"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Komputer</author>
  </authors>
  <commentList>
    <comment ref="A7" authorId="0" shapeId="0" xr:uid="{A28271F6-1C21-47D5-9B64-799C388A684E}">
      <text>
        <r>
          <rPr>
            <b/>
            <sz val="9"/>
            <color indexed="81"/>
            <rFont val="Tahoma"/>
            <charset val="1"/>
          </rPr>
          <t>W zależności od wybranego modelu czasowego, w taki sposób wyliczamy następujące kwoty.</t>
        </r>
      </text>
    </comment>
  </commentList>
</comments>
</file>

<file path=xl/sharedStrings.xml><?xml version="1.0" encoding="utf-8"?>
<sst xmlns="http://schemas.openxmlformats.org/spreadsheetml/2006/main" count="58" uniqueCount="46">
  <si>
    <t>Kapitał</t>
  </si>
  <si>
    <t>Stopa</t>
  </si>
  <si>
    <t>t</t>
  </si>
  <si>
    <t>odsetki</t>
  </si>
  <si>
    <t xml:space="preserve">a) </t>
  </si>
  <si>
    <t>Inny kod</t>
  </si>
  <si>
    <t>p</t>
  </si>
  <si>
    <t>Na boku:</t>
  </si>
  <si>
    <t>K = 5000(1+4%)^3</t>
  </si>
  <si>
    <r>
      <t>K</t>
    </r>
    <r>
      <rPr>
        <vertAlign val="subscript"/>
        <sz val="11"/>
        <color theme="1"/>
        <rFont val="Calibri"/>
        <family val="2"/>
        <scheme val="minor"/>
      </rPr>
      <t>0</t>
    </r>
  </si>
  <si>
    <t>r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</si>
  <si>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</si>
  <si>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</si>
  <si>
    <t>(1+r) - nazywa się współczynnikiem oprocentowania</t>
  </si>
  <si>
    <t>Kp</t>
  </si>
  <si>
    <t>k</t>
  </si>
  <si>
    <t>b)*</t>
  </si>
  <si>
    <t>Przekształcić wzór na tablicy</t>
  </si>
  <si>
    <t>Startujemy od wzoru: K = K_p(1+r)^n i z tego wyliczamy n</t>
  </si>
  <si>
    <t>K_n_1</t>
  </si>
  <si>
    <t>K_0</t>
  </si>
  <si>
    <t>m</t>
  </si>
  <si>
    <t>K = K_0*(1+r/n)^(n*m)</t>
  </si>
  <si>
    <t xml:space="preserve">Wnioski: </t>
  </si>
  <si>
    <t>Wzór 1.5.2</t>
  </si>
  <si>
    <t>K(t) = K(t_0)*exp(r(t-t_0))</t>
  </si>
  <si>
    <t>Widzimy teraz że różnice w uzyskanej kwocie przez coraz większej ilości kapitalizacji są bardzo niewielkie nie przekraczają w tym przypadku złotówki nie jest to przypadek gdyż tym razem oprocentowanie jest dużo niższe od poprzedniego a więc zbieżność przem dążącym do nieskończoności ciągu zrównania 1.5.2 jest szybsza kwota uzyskana po okresie jednego roku dąży do wielkości 2060,91
zauważmy że w przypadku nominalnej stopy procentowej 3% i lokaty 2000 zł nie ma praktycznie znaczenia czy bank oferowałby kwartalną dzienną czy nawet sekundową kapitalizację odsetek gdyż różnice dla różnego rodzaju kapitalizacji w zysku z kwoty 2000 zł włożonej na lokatę są rzędu 25 groszy</t>
  </si>
  <si>
    <t>UWAGA: Zadanie 1.3 na kolokwium &lt;------- informacja tylko dla nas</t>
  </si>
  <si>
    <t xml:space="preserve">przekształcamy wzór i dostajemy: </t>
  </si>
  <si>
    <t>I sposób  - przekształcenie wzoru</t>
  </si>
  <si>
    <t>II sposób  - funkcja "NOMINAL (nominalna)"</t>
  </si>
  <si>
    <t>dodatkowo omówić funkcję "NOMINAL"</t>
  </si>
  <si>
    <t>Skorzystamy ze wzoru na efektywną stop procentową:</t>
  </si>
  <si>
    <t>r_1</t>
  </si>
  <si>
    <t>r_2</t>
  </si>
  <si>
    <t>II sposób  - funkcja "EFFECT (efektywna)"</t>
  </si>
  <si>
    <t>Zadanie 1.4: Oblicz, jaką wartość odsetek wygeneruje kapital początkowy 600 zł, po a) 216 dniach; b) 5 latach oprocentowania prostego przy rocznej stopie 9%.</t>
  </si>
  <si>
    <t>[str. 14, p. 1.2.4] Zadanie 1.5: Na jaki okres czasu należy złożyć kapitał, aby przy rocznej stopie procentowej równej 3% nastąpiło podwojenie kapitału?</t>
  </si>
  <si>
    <t>[str. 26, p. 1.5.5] Zadanie 1.6: Załóżmy, że pewien bank oferuje nam lokatę z oprocentowaniem 3% w stosunku rocznym. Obliczmy kwotę, jaką odbierzemy po okresie roku, jeżeli włożyliśmy na lokatę 2000 zł, zaś kapitalizacja jest: a) roczną; ….</t>
  </si>
  <si>
    <t>[str. 27, zad. 1.4] Zadanie 1.8: Bank zmienił oprocentowanie wkładów na książeczkach oszczędniościowych, zwiększając oprocentowanie nominalne z 5% do 5,5%, wydłużając jednak przy tym okres kapitalizacji odsetek z kwartalnego do półrocznego. Rozstrzygnij, czy ta zmiana jest korzystna, czy niekorzystna dla klientów banku.</t>
  </si>
  <si>
    <t>Zadanie 1.3: Oblicz wartość przyszłą kapitału po 3 latach od kwoty 5 000 zł, przy założeniu rocznej stopy procentowej 4%, oraz kapitalizacji rocznej.</t>
  </si>
  <si>
    <t>[str. 11, p. 1.1.2 ] Zadanie 1.1: Wartość pożyczki udzielonej na 4 miesiące wynosi 2000 zł. Oprocentowanie jest równie r = 3% p.a. Ile wynosi kwota zwrotu oraz zapłata za pożyczkę (odsetki), przy założeniu zwrotu jednorazowego (procent prosty).</t>
  </si>
  <si>
    <t>Zadanie 1.2: Właścicielowi 8-miesięcznej lokaty bankowej na sumę 10 000 zł wypłacono przy jej likwidacji 10 275 zł. Oblicz jaka była roczna stopa oprocentowania lokaty, przy założeniu kapitalizacji prostej.</t>
  </si>
  <si>
    <t>10275 = 10000(1+p/360 * (2/3*360)/1)</t>
  </si>
  <si>
    <t>[str. 27, zad. 1.2] Zadanie 1.7: Klient wpłacił do banku 10000 zł. Po dwóch latach wypłacono mu 10652 zł. Ile wynosiła roczna stopa procentowa, jeśli odsetki były kapitalizowane półrocznie?</t>
  </si>
  <si>
    <t>10000*(1+r/2)^(2*2) = 10652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</si>
</sst>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zł&quot;_-;\-* #,##0.00\ &quot;zł&quot;_-;_-* &quot;-&quot;??\ &quot;zł&quot;_-;_-@_-"/>
    <numFmt numFmtId="164" formatCode="#,##0.00\ [$zł-415]"/>
    <numFmt numFmtId="167" formatCode="0.0000%"/>
  </numFmts>
  <fonts count="12" x14ac:knownFonts="1"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9"/>
      <color indexed="81"/>
      <name val="Tahoma"/>
      <charset val="1"/>
    </font>
    <font>
      <b/>
      <i/>
      <u/>
      <sz val="12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2">
    <xf numFmtId="0" fontId="0" fillId="0" borderId="0" xfId="0"/>
    <xf numFmtId="9" fontId="0" fillId="0" borderId="0" xfId="0" applyNumberFormat="1"/>
    <xf numFmtId="0" fontId="0" fillId="0" borderId="1" xfId="0" applyBorder="1"/>
    <xf numFmtId="164" fontId="0" fillId="0" borderId="1" xfId="0" applyNumberFormat="1" applyBorder="1"/>
    <xf numFmtId="10" fontId="0" fillId="0" borderId="0" xfId="0" applyNumberFormat="1"/>
    <xf numFmtId="0" fontId="1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wrapText="1"/>
    </xf>
    <xf numFmtId="0" fontId="7" fillId="0" borderId="0" xfId="0" applyFont="1"/>
    <xf numFmtId="9" fontId="0" fillId="0" borderId="0" xfId="1" applyFont="1"/>
    <xf numFmtId="0" fontId="0" fillId="0" borderId="2" xfId="0" applyBorder="1" applyAlignment="1">
      <alignment horizontal="right"/>
    </xf>
    <xf numFmtId="44" fontId="0" fillId="0" borderId="0" xfId="0" applyNumberFormat="1"/>
    <xf numFmtId="0" fontId="11" fillId="0" borderId="0" xfId="0" applyFont="1"/>
    <xf numFmtId="0" fontId="9" fillId="2" borderId="2" xfId="0" applyFont="1" applyFill="1" applyBorder="1" applyAlignment="1">
      <alignment horizontal="center"/>
    </xf>
    <xf numFmtId="44" fontId="0" fillId="0" borderId="2" xfId="0" applyNumberFormat="1" applyBorder="1" applyAlignment="1">
      <alignment horizontal="center"/>
    </xf>
    <xf numFmtId="44" fontId="0" fillId="0" borderId="1" xfId="0" applyNumberFormat="1" applyBorder="1"/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 vertical="center" textRotation="90"/>
    </xf>
    <xf numFmtId="0" fontId="9" fillId="0" borderId="0" xfId="0" applyFont="1" applyAlignment="1">
      <alignment horizontal="center" vertical="top" wrapText="1"/>
    </xf>
    <xf numFmtId="167" fontId="0" fillId="0" borderId="0" xfId="0" applyNumberFormat="1"/>
  </cellXfs>
  <cellStyles count="2">
    <cellStyle name="Normalny" xfId="0" builtinId="0"/>
    <cellStyle name="Procentowy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ustomXml" Target="../ink/ink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53340</xdr:colOff>
      <xdr:row>2</xdr:row>
      <xdr:rowOff>7620</xdr:rowOff>
    </xdr:from>
    <xdr:to>
      <xdr:col>22</xdr:col>
      <xdr:colOff>510540</xdr:colOff>
      <xdr:row>20</xdr:row>
      <xdr:rowOff>146278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E90A1D81-D976-4514-BFDA-3F9205EE94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9340" y="373380"/>
          <a:ext cx="7772400" cy="3460978"/>
        </a:xfrm>
        <a:prstGeom prst="rect">
          <a:avLst/>
        </a:prstGeom>
      </xdr:spPr>
    </xdr:pic>
    <xdr:clientData/>
  </xdr:twoCellAnchor>
  <xdr:twoCellAnchor editAs="oneCell">
    <xdr:from>
      <xdr:col>14</xdr:col>
      <xdr:colOff>196680</xdr:colOff>
      <xdr:row>3</xdr:row>
      <xdr:rowOff>137880</xdr:rowOff>
    </xdr:from>
    <xdr:to>
      <xdr:col>15</xdr:col>
      <xdr:colOff>335880</xdr:colOff>
      <xdr:row>5</xdr:row>
      <xdr:rowOff>122640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0" name="Pismo odręczne 9">
              <a:extLst>
                <a:ext uri="{FF2B5EF4-FFF2-40B4-BE49-F238E27FC236}">
                  <a16:creationId xmlns:a16="http://schemas.microsoft.com/office/drawing/2014/main" id="{75D270AC-0D42-0B7B-7EA9-67BFE5423013}"/>
                </a:ext>
              </a:extLst>
            </xdr14:cNvPr>
            <xdr14:cNvContentPartPr/>
          </xdr14:nvContentPartPr>
          <xdr14:nvPr macro=""/>
          <xdr14:xfrm>
            <a:off x="8731080" y="686520"/>
            <a:ext cx="748800" cy="365760"/>
          </xdr14:xfrm>
        </xdr:contentPart>
      </mc:Choice>
      <mc:Fallback xmlns="">
        <xdr:pic>
          <xdr:nvPicPr>
            <xdr:cNvPr id="10" name="Pismo odręczne 9">
              <a:extLst>
                <a:ext uri="{FF2B5EF4-FFF2-40B4-BE49-F238E27FC236}">
                  <a16:creationId xmlns:a16="http://schemas.microsoft.com/office/drawing/2014/main" id="{75D270AC-0D42-0B7B-7EA9-67BFE542301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722440" y="677520"/>
              <a:ext cx="766440" cy="383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556260</xdr:colOff>
      <xdr:row>4</xdr:row>
      <xdr:rowOff>22860</xdr:rowOff>
    </xdr:from>
    <xdr:to>
      <xdr:col>23</xdr:col>
      <xdr:colOff>121920</xdr:colOff>
      <xdr:row>17</xdr:row>
      <xdr:rowOff>83192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A3F18E32-CEB5-4BC6-AD91-77C916E15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10077764" y="-827084"/>
          <a:ext cx="2468252" cy="5661660"/>
        </a:xfrm>
        <a:prstGeom prst="rect">
          <a:avLst/>
        </a:prstGeom>
      </xdr:spPr>
    </xdr:pic>
    <xdr:clientData/>
  </xdr:twoCellAnchor>
  <xdr:twoCellAnchor editAs="oneCell">
    <xdr:from>
      <xdr:col>5</xdr:col>
      <xdr:colOff>335280</xdr:colOff>
      <xdr:row>3</xdr:row>
      <xdr:rowOff>167640</xdr:rowOff>
    </xdr:from>
    <xdr:to>
      <xdr:col>13</xdr:col>
      <xdr:colOff>545693</xdr:colOff>
      <xdr:row>22</xdr:row>
      <xdr:rowOff>55006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ECB4F635-4CEE-B76F-8C36-9A8A41AC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4230604" y="-115804"/>
          <a:ext cx="3392566" cy="5087213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9-06T16:17:12.654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808 18 24575,'-132'-10'0,"95"6"0,-1 0 0,-63 4 0,64 5 0,-1 2 0,1 1 0,1 2 0,0 1 0,0 2 0,-53 27 0,73-31 0,0 0 0,1 1 0,0 0 0,1 1 0,0 1 0,0 0 0,-17 21 0,25-24 0,-1-1 0,2 1 0,-1 1 0,1-1 0,0 1 0,1 0 0,0 0 0,1 1 0,0-1 0,1 1 0,0-1 0,0 1 0,1 20 0,1-15 0,1 0 0,1-1 0,1 1 0,0-1 0,1 1 0,6 14 0,5 8 0,23 40 0,-23-51 0,2-1 0,0 0 0,2-1 0,0-1 0,2-1 0,1-1 0,0 0 0,33 22 0,-20-22 0,2-1 0,0-2 0,66 23 0,-83-35 0,23 8 0,0-2 0,2-2 0,-1-1 0,90 5 0,188-12 0,-167-6 0,-120 3 0,-1-2 0,1-2 0,0-1 0,58-16 0,15-8 0,142-17 0,-244 44 0,1 1 0,-1-1 0,1-1 0,-1 1 0,0-1 0,0-1 0,0 1 0,6-6 0,42-36 0,-47 39 0,0-1 0,-1 0 0,0 0 0,0 0 0,-1-1 0,0 0 0,-1 0 0,0 0 0,6-17 0,-6 12 0,-1-1 0,-1 0 0,0 0 0,-1-1 0,-1-25 0,-1 12 0,0-1 0,-2 1 0,-2 1 0,-9-36 0,-3-15 0,12 53 0,-11-38 0,13 55 0,-1-1 0,0 1 0,0 0 0,-1 0 0,0 0 0,0 0 0,0 1 0,-8-8 0,10 13 0,-23-26 0,-2 0 0,-1 2 0,-1 2 0,-35-23 0,58 44 0,0 0 0,0 0 0,0 0 0,0 1 0,-1 0 0,1 0 0,-1 1 0,-14-1 0,-68 4 0,36 1 0,32-3 0,-49 0 0,1 3 0,-85 14 0,51 1 0,-96 21 0,184-35-1365,1-1-5461</inkml:trace>
</inkml:ink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21535-E783-4A22-83DC-C30278FA3E44}">
  <sheetPr codeName="Arkusz2"/>
  <dimension ref="A1:T8"/>
  <sheetViews>
    <sheetView workbookViewId="0">
      <selection sqref="A1:T2"/>
    </sheetView>
  </sheetViews>
  <sheetFormatPr defaultRowHeight="14.4" x14ac:dyDescent="0.3"/>
  <sheetData>
    <row r="1" spans="1:20" ht="15.6" customHeight="1" x14ac:dyDescent="0.3">
      <c r="A1" s="17" t="s">
        <v>41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</row>
    <row r="3" spans="1:20" x14ac:dyDescent="0.3">
      <c r="A3" t="s">
        <v>14</v>
      </c>
      <c r="B3">
        <v>2000</v>
      </c>
    </row>
    <row r="4" spans="1:20" x14ac:dyDescent="0.3">
      <c r="A4" t="s">
        <v>10</v>
      </c>
      <c r="B4" s="1">
        <v>0.03</v>
      </c>
    </row>
    <row r="6" spans="1:20" x14ac:dyDescent="0.3">
      <c r="A6" t="s">
        <v>15</v>
      </c>
      <c r="B6">
        <f>B3+B3*B4*4/12</f>
        <v>2020</v>
      </c>
      <c r="C6">
        <f>B3*(1+B4*4/12)</f>
        <v>2020</v>
      </c>
    </row>
    <row r="8" spans="1:20" x14ac:dyDescent="0.3">
      <c r="A8" t="s">
        <v>3</v>
      </c>
      <c r="B8">
        <f>B6-B3</f>
        <v>20</v>
      </c>
    </row>
  </sheetData>
  <mergeCells count="1">
    <mergeCell ref="A1:T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15F7-BDCA-46C6-A707-F5B9C3EF89DA}">
  <sheetPr codeName="Arkusz3"/>
  <dimension ref="A1:V8"/>
  <sheetViews>
    <sheetView workbookViewId="0">
      <selection activeCell="J13" sqref="J13"/>
    </sheetView>
  </sheetViews>
  <sheetFormatPr defaultRowHeight="14.4" x14ac:dyDescent="0.3"/>
  <sheetData>
    <row r="1" spans="1:22" ht="15.6" x14ac:dyDescent="0.3">
      <c r="A1" s="18" t="s">
        <v>42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3" spans="1:22" x14ac:dyDescent="0.3">
      <c r="A3" t="s">
        <v>6</v>
      </c>
      <c r="B3" s="4">
        <f>(10275/10000-1)*3/2</f>
        <v>4.125000000000012E-2</v>
      </c>
      <c r="J3" s="5" t="s">
        <v>7</v>
      </c>
      <c r="K3" s="5"/>
      <c r="L3" s="5"/>
      <c r="M3" s="5"/>
    </row>
    <row r="4" spans="1:22" x14ac:dyDescent="0.3">
      <c r="A4" t="s">
        <v>6</v>
      </c>
      <c r="B4" s="4">
        <f>INTRATE(0,2/3*360,10000,10275,2)</f>
        <v>4.1250000000000002E-2</v>
      </c>
      <c r="J4" s="5" t="s">
        <v>43</v>
      </c>
      <c r="K4" s="5"/>
      <c r="L4" s="5"/>
      <c r="M4" s="5"/>
    </row>
    <row r="8" spans="1:22" x14ac:dyDescent="0.3">
      <c r="F8" s="6"/>
    </row>
  </sheetData>
  <mergeCells count="1">
    <mergeCell ref="A1:V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6A597-0CF0-43C8-BC0F-FA7A33051BA1}">
  <sheetPr codeName="Arkusz4"/>
  <dimension ref="A1:P6"/>
  <sheetViews>
    <sheetView workbookViewId="0">
      <selection activeCell="Q7" sqref="Q7"/>
    </sheetView>
  </sheetViews>
  <sheetFormatPr defaultRowHeight="14.4" x14ac:dyDescent="0.3"/>
  <cols>
    <col min="2" max="3" width="10.88671875" bestFit="1" customWidth="1"/>
  </cols>
  <sheetData>
    <row r="1" spans="1:16" ht="15.6" x14ac:dyDescent="0.3">
      <c r="A1" s="18" t="s">
        <v>40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3" spans="1:16" ht="15.6" x14ac:dyDescent="0.35">
      <c r="A3" t="s">
        <v>9</v>
      </c>
      <c r="B3" s="12">
        <v>5000</v>
      </c>
      <c r="J3" s="5" t="s">
        <v>7</v>
      </c>
      <c r="K3" s="5"/>
      <c r="L3" s="5"/>
      <c r="M3" s="5"/>
    </row>
    <row r="4" spans="1:16" x14ac:dyDescent="0.3">
      <c r="A4" t="s">
        <v>10</v>
      </c>
      <c r="B4" s="1">
        <v>0.04</v>
      </c>
      <c r="J4" s="5" t="s">
        <v>8</v>
      </c>
      <c r="K4" s="5"/>
      <c r="L4" s="5"/>
      <c r="M4" s="5"/>
    </row>
    <row r="5" spans="1:16" x14ac:dyDescent="0.3">
      <c r="A5" t="s">
        <v>11</v>
      </c>
      <c r="B5">
        <v>3</v>
      </c>
      <c r="J5" s="5" t="s">
        <v>13</v>
      </c>
    </row>
    <row r="6" spans="1:16" ht="15.6" x14ac:dyDescent="0.35">
      <c r="A6" t="s">
        <v>12</v>
      </c>
      <c r="B6" s="12">
        <f>B3*(1+B4)^B5</f>
        <v>5624.3200000000006</v>
      </c>
      <c r="C6" s="12">
        <f>lokata(B3,B4,B5)</f>
        <v>5624.3200000000006</v>
      </c>
    </row>
  </sheetData>
  <mergeCells count="1">
    <mergeCell ref="A1:P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03529-BF7E-414E-A173-95E7E8901835}">
  <sheetPr codeName="Arkusz5"/>
  <dimension ref="A1:Q11"/>
  <sheetViews>
    <sheetView workbookViewId="0">
      <selection activeCell="J11" sqref="J11"/>
    </sheetView>
  </sheetViews>
  <sheetFormatPr defaultRowHeight="14.4" x14ac:dyDescent="0.3"/>
  <cols>
    <col min="2" max="2" width="9.44140625" bestFit="1" customWidth="1"/>
    <col min="6" max="6" width="9.44140625" bestFit="1" customWidth="1"/>
  </cols>
  <sheetData>
    <row r="1" spans="1:17" ht="15.6" x14ac:dyDescent="0.3">
      <c r="A1" s="18" t="s">
        <v>36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3">
      <c r="A2" t="s">
        <v>4</v>
      </c>
      <c r="E2" t="s">
        <v>16</v>
      </c>
    </row>
    <row r="3" spans="1:17" x14ac:dyDescent="0.3">
      <c r="A3" t="s">
        <v>0</v>
      </c>
      <c r="B3" s="12">
        <v>600</v>
      </c>
      <c r="E3" t="s">
        <v>0</v>
      </c>
      <c r="F3" s="12">
        <v>600</v>
      </c>
    </row>
    <row r="4" spans="1:17" x14ac:dyDescent="0.3">
      <c r="A4" t="s">
        <v>1</v>
      </c>
      <c r="B4" s="1">
        <v>0.09</v>
      </c>
      <c r="E4" t="s">
        <v>1</v>
      </c>
      <c r="F4" s="1">
        <v>0.09</v>
      </c>
    </row>
    <row r="5" spans="1:17" x14ac:dyDescent="0.3">
      <c r="A5" t="s">
        <v>2</v>
      </c>
      <c r="B5">
        <f>216/360</f>
        <v>0.6</v>
      </c>
      <c r="E5" t="s">
        <v>2</v>
      </c>
      <c r="F5">
        <v>5</v>
      </c>
    </row>
    <row r="6" spans="1:17" x14ac:dyDescent="0.3">
      <c r="A6" s="2" t="s">
        <v>3</v>
      </c>
      <c r="B6" s="3">
        <f>B3*B4*B5</f>
        <v>32.4</v>
      </c>
      <c r="E6" s="2" t="s">
        <v>3</v>
      </c>
      <c r="F6" s="16">
        <f>F3*F4*F5</f>
        <v>270</v>
      </c>
    </row>
    <row r="7" spans="1:17" x14ac:dyDescent="0.3">
      <c r="A7">
        <v>0</v>
      </c>
      <c r="B7" s="12">
        <f>ACCRINTM(0,216,9%,600,0)</f>
        <v>31.95</v>
      </c>
      <c r="D7" s="19" t="s">
        <v>5</v>
      </c>
      <c r="E7">
        <v>0</v>
      </c>
      <c r="F7" s="12">
        <f>ACCRINTM(0,5*360,$F$4,$F$3,0)</f>
        <v>266.10000000000002</v>
      </c>
    </row>
    <row r="8" spans="1:17" x14ac:dyDescent="0.3">
      <c r="A8">
        <v>1</v>
      </c>
      <c r="B8" s="12">
        <f>ACCRINTM(0,216,9%,600,1)</f>
        <v>31.956164383561646</v>
      </c>
      <c r="D8" s="19"/>
      <c r="E8">
        <v>1</v>
      </c>
      <c r="F8" s="12">
        <f>ACCRINTM(0,5*360,$F$4,$F$3,1)</f>
        <v>266.15553121577221</v>
      </c>
    </row>
    <row r="9" spans="1:17" x14ac:dyDescent="0.3">
      <c r="A9">
        <v>2</v>
      </c>
      <c r="B9" s="12">
        <f>ACCRINTM(0,216,9%,600,2)</f>
        <v>32.4</v>
      </c>
      <c r="D9" s="19"/>
      <c r="E9">
        <v>2</v>
      </c>
      <c r="F9" s="12">
        <f>ACCRINTM(0,5*360,$F$4,$F$3,2)</f>
        <v>270</v>
      </c>
    </row>
    <row r="10" spans="1:17" x14ac:dyDescent="0.3">
      <c r="A10">
        <v>3</v>
      </c>
      <c r="B10" s="12">
        <f>ACCRINTM(0,216,9%,600,3)</f>
        <v>31.956164383561646</v>
      </c>
      <c r="D10" s="19"/>
      <c r="E10">
        <v>3</v>
      </c>
      <c r="F10" s="12">
        <f>ACCRINTM(0,5*360,$F$4,$F$3,3)</f>
        <v>266.30136986301369</v>
      </c>
    </row>
    <row r="11" spans="1:17" x14ac:dyDescent="0.3">
      <c r="A11">
        <v>4</v>
      </c>
      <c r="B11" s="12">
        <f>ACCRINTM(0,216,9%,600,4)</f>
        <v>31.95</v>
      </c>
      <c r="D11" s="19"/>
      <c r="E11">
        <v>4</v>
      </c>
      <c r="F11" s="12">
        <f>ACCRINTM(0,5*360,$F$4,$F$3,4)</f>
        <v>266.10000000000002</v>
      </c>
    </row>
  </sheetData>
  <mergeCells count="2">
    <mergeCell ref="D7:D11"/>
    <mergeCell ref="A1:Q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C3431-9543-4F68-8209-8E95C722BA61}">
  <sheetPr codeName="Arkusz1"/>
  <dimension ref="A1:P5"/>
  <sheetViews>
    <sheetView workbookViewId="0">
      <selection sqref="A1:P1"/>
    </sheetView>
  </sheetViews>
  <sheetFormatPr defaultRowHeight="14.4" x14ac:dyDescent="0.3"/>
  <sheetData>
    <row r="1" spans="1:16" ht="15.6" x14ac:dyDescent="0.3">
      <c r="A1" s="18" t="s">
        <v>37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4" spans="1:16" x14ac:dyDescent="0.3">
      <c r="A4" t="s">
        <v>11</v>
      </c>
      <c r="B4">
        <f>LOG(2,EXP(1))/LOG(1.03,EXP(1))</f>
        <v>23.449772250437736</v>
      </c>
      <c r="D4" s="7" t="s">
        <v>17</v>
      </c>
    </row>
    <row r="5" spans="1:16" x14ac:dyDescent="0.3">
      <c r="D5" s="7" t="s">
        <v>18</v>
      </c>
    </row>
  </sheetData>
  <mergeCells count="1">
    <mergeCell ref="A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0495-4001-42D6-8CBA-AC888FE61402}">
  <sheetPr codeName="Arkusz6"/>
  <dimension ref="A1:O27"/>
  <sheetViews>
    <sheetView workbookViewId="0">
      <selection sqref="A1:M2"/>
    </sheetView>
  </sheetViews>
  <sheetFormatPr defaultRowHeight="14.4" x14ac:dyDescent="0.3"/>
  <cols>
    <col min="2" max="2" width="10.88671875" bestFit="1" customWidth="1"/>
    <col min="3" max="3" width="15" bestFit="1" customWidth="1"/>
    <col min="6" max="6" width="10.21875" customWidth="1"/>
  </cols>
  <sheetData>
    <row r="1" spans="1:13" ht="15.6" customHeight="1" x14ac:dyDescent="0.3">
      <c r="A1" s="17" t="s">
        <v>38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3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</row>
    <row r="4" spans="1:13" x14ac:dyDescent="0.3">
      <c r="A4" t="s">
        <v>20</v>
      </c>
      <c r="B4" s="12">
        <v>2000</v>
      </c>
    </row>
    <row r="5" spans="1:13" x14ac:dyDescent="0.3">
      <c r="A5" t="s">
        <v>10</v>
      </c>
      <c r="B5" s="10">
        <v>0.03</v>
      </c>
    </row>
    <row r="6" spans="1:13" x14ac:dyDescent="0.3">
      <c r="A6" t="s">
        <v>21</v>
      </c>
      <c r="B6">
        <v>1</v>
      </c>
      <c r="F6" s="7" t="s">
        <v>22</v>
      </c>
    </row>
    <row r="8" spans="1:13" x14ac:dyDescent="0.3">
      <c r="B8" s="14" t="s">
        <v>11</v>
      </c>
      <c r="C8" s="14" t="s">
        <v>19</v>
      </c>
    </row>
    <row r="9" spans="1:13" x14ac:dyDescent="0.3">
      <c r="B9" s="11">
        <v>1</v>
      </c>
      <c r="C9" s="15">
        <f>$B$4*(1+$B$5/B9)^(B9*$B$6)</f>
        <v>2060</v>
      </c>
      <c r="F9" s="7" t="s">
        <v>24</v>
      </c>
      <c r="G9" s="7" t="s">
        <v>25</v>
      </c>
      <c r="H9" s="7"/>
      <c r="I9" s="7"/>
    </row>
    <row r="10" spans="1:13" x14ac:dyDescent="0.3">
      <c r="B10" s="11">
        <v>2</v>
      </c>
      <c r="C10" s="15">
        <f t="shared" ref="C10:C16" si="0">$B$4*(1+$B$5/B10)^(B10*$B$6)</f>
        <v>2060.4499999999994</v>
      </c>
    </row>
    <row r="11" spans="1:13" x14ac:dyDescent="0.3">
      <c r="B11" s="11">
        <v>4</v>
      </c>
      <c r="C11" s="15">
        <f t="shared" si="0"/>
        <v>2060.6783813281259</v>
      </c>
    </row>
    <row r="12" spans="1:13" x14ac:dyDescent="0.3">
      <c r="B12" s="11">
        <v>52</v>
      </c>
      <c r="C12" s="15">
        <f t="shared" si="0"/>
        <v>2060.891240050697</v>
      </c>
    </row>
    <row r="13" spans="1:13" x14ac:dyDescent="0.3">
      <c r="B13" s="11">
        <v>365</v>
      </c>
      <c r="C13" s="15">
        <f t="shared" si="0"/>
        <v>2060.9065272011167</v>
      </c>
    </row>
    <row r="14" spans="1:13" x14ac:dyDescent="0.3">
      <c r="B14" s="11">
        <v>8760</v>
      </c>
      <c r="C14" s="15">
        <f t="shared" si="0"/>
        <v>2060.9089620374716</v>
      </c>
    </row>
    <row r="15" spans="1:13" x14ac:dyDescent="0.3">
      <c r="B15" s="11">
        <v>525600</v>
      </c>
      <c r="C15" s="15">
        <f t="shared" si="0"/>
        <v>2060.9090661459209</v>
      </c>
    </row>
    <row r="16" spans="1:13" x14ac:dyDescent="0.3">
      <c r="B16" s="11">
        <v>31536000</v>
      </c>
      <c r="C16" s="15">
        <f t="shared" si="0"/>
        <v>2060.9090642312667</v>
      </c>
    </row>
    <row r="19" spans="2:15" ht="14.4" customHeight="1" x14ac:dyDescent="0.3">
      <c r="B19" t="s">
        <v>23</v>
      </c>
      <c r="C19" s="20" t="s">
        <v>26</v>
      </c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</row>
    <row r="20" spans="2:15" x14ac:dyDescent="0.3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</row>
    <row r="21" spans="2:15" x14ac:dyDescent="0.3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</row>
    <row r="22" spans="2:15" x14ac:dyDescent="0.3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</row>
    <row r="23" spans="2:15" x14ac:dyDescent="0.3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</row>
    <row r="24" spans="2:15" x14ac:dyDescent="0.3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  <row r="25" spans="2:15" x14ac:dyDescent="0.3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</row>
    <row r="26" spans="2:15" x14ac:dyDescent="0.3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</row>
    <row r="27" spans="2:15" x14ac:dyDescent="0.3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</row>
  </sheetData>
  <mergeCells count="2">
    <mergeCell ref="A1:M2"/>
    <mergeCell ref="C19:O27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D3483-BAC7-4716-A8BF-F07C358EF1E5}">
  <sheetPr codeName="Arkusz7"/>
  <dimension ref="A1:M16"/>
  <sheetViews>
    <sheetView tabSelected="1" workbookViewId="0">
      <selection activeCell="D7" sqref="D7"/>
    </sheetView>
  </sheetViews>
  <sheetFormatPr defaultRowHeight="14.4" x14ac:dyDescent="0.3"/>
  <sheetData>
    <row r="1" spans="1:13" ht="14.4" customHeight="1" x14ac:dyDescent="0.3">
      <c r="A1" s="17" t="s">
        <v>44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8"/>
    </row>
    <row r="2" spans="1:13" ht="14.4" customHeigh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8"/>
    </row>
    <row r="3" spans="1:13" x14ac:dyDescent="0.3">
      <c r="A3" s="9" t="s">
        <v>27</v>
      </c>
    </row>
    <row r="5" spans="1:13" ht="15.6" x14ac:dyDescent="0.3">
      <c r="A5" s="13" t="s">
        <v>29</v>
      </c>
    </row>
    <row r="7" spans="1:13" x14ac:dyDescent="0.3">
      <c r="A7" t="s">
        <v>45</v>
      </c>
    </row>
    <row r="8" spans="1:13" x14ac:dyDescent="0.3">
      <c r="A8" t="s">
        <v>28</v>
      </c>
    </row>
    <row r="10" spans="1:13" x14ac:dyDescent="0.3">
      <c r="A10">
        <f>2*((10652/10000)^(1/4)-1)</f>
        <v>3.1831949542337146E-2</v>
      </c>
    </row>
    <row r="13" spans="1:13" ht="15.6" x14ac:dyDescent="0.3">
      <c r="A13" s="13" t="s">
        <v>30</v>
      </c>
      <c r="G13" s="7" t="s">
        <v>31</v>
      </c>
    </row>
    <row r="14" spans="1:13" x14ac:dyDescent="0.3">
      <c r="A14">
        <f>NOMINAL((10652-10000)/10000,4)/2</f>
        <v>3.1831949542337146E-2</v>
      </c>
      <c r="B14" s="4">
        <f>NOMINAL((10652-10000)/10000,4)/2</f>
        <v>3.1831949542337146E-2</v>
      </c>
    </row>
    <row r="16" spans="1:13" x14ac:dyDescent="0.3">
      <c r="B16" s="21">
        <f>RATE(2*2,0,-10000,10652)*2</f>
        <v>3.1831949543340524E-2</v>
      </c>
    </row>
  </sheetData>
  <mergeCells count="1">
    <mergeCell ref="A1:L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4E918-D857-42C2-8B41-7F8F5490AEFC}">
  <sheetPr codeName="Arkusz8"/>
  <dimension ref="A1:L17"/>
  <sheetViews>
    <sheetView workbookViewId="0">
      <selection sqref="A1:L3"/>
    </sheetView>
  </sheetViews>
  <sheetFormatPr defaultRowHeight="14.4" x14ac:dyDescent="0.3"/>
  <cols>
    <col min="1" max="1" width="9.109375" bestFit="1" customWidth="1"/>
  </cols>
  <sheetData>
    <row r="1" spans="1:12" ht="15.6" customHeight="1" x14ac:dyDescent="0.3">
      <c r="A1" s="17" t="s">
        <v>39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x14ac:dyDescent="0.3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</row>
    <row r="6" spans="1:12" ht="15.6" x14ac:dyDescent="0.3">
      <c r="A6" s="13" t="s">
        <v>29</v>
      </c>
    </row>
    <row r="8" spans="1:12" x14ac:dyDescent="0.3">
      <c r="A8" t="s">
        <v>32</v>
      </c>
    </row>
    <row r="10" spans="1:12" x14ac:dyDescent="0.3">
      <c r="A10" t="s">
        <v>33</v>
      </c>
      <c r="B10">
        <f>(1+0.05/4)^4-1</f>
        <v>5.0945336914062445E-2</v>
      </c>
    </row>
    <row r="11" spans="1:12" x14ac:dyDescent="0.3">
      <c r="A11" t="s">
        <v>34</v>
      </c>
      <c r="B11">
        <f>(1+0.055/2)^2-1</f>
        <v>5.5756250000000174E-2</v>
      </c>
    </row>
    <row r="14" spans="1:12" ht="15.6" x14ac:dyDescent="0.3">
      <c r="A14" s="13" t="s">
        <v>35</v>
      </c>
    </row>
    <row r="16" spans="1:12" x14ac:dyDescent="0.3">
      <c r="A16">
        <f>EFFECT(5%,4)</f>
        <v>5.0945336914062445E-2</v>
      </c>
    </row>
    <row r="17" spans="1:1" x14ac:dyDescent="0.3">
      <c r="A17">
        <f>EFFECT(5.5%,2)</f>
        <v>5.5756250000000174E-2</v>
      </c>
    </row>
  </sheetData>
  <mergeCells count="1">
    <mergeCell ref="A1:L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F55C1CD22588A40AFB229C88237300C" ma:contentTypeVersion="4" ma:contentTypeDescription="Utwórz nowy dokument." ma:contentTypeScope="" ma:versionID="7dd34e4a96138b914374c9c837ea2aee">
  <xsd:schema xmlns:xsd="http://www.w3.org/2001/XMLSchema" xmlns:xs="http://www.w3.org/2001/XMLSchema" xmlns:p="http://schemas.microsoft.com/office/2006/metadata/properties" xmlns:ns2="1f0fb177-e87c-49cb-994c-3a4a5c8e4082" targetNamespace="http://schemas.microsoft.com/office/2006/metadata/properties" ma:root="true" ma:fieldsID="7741a6a82e72e832222c32b15a75763d" ns2:_="">
    <xsd:import namespace="1f0fb177-e87c-49cb-994c-3a4a5c8e40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0fb177-e87c-49cb-994c-3a4a5c8e40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A6DEEAC-7E47-47D0-BE35-2366F38DD1DA}"/>
</file>

<file path=customXml/itemProps2.xml><?xml version="1.0" encoding="utf-8"?>
<ds:datastoreItem xmlns:ds="http://schemas.openxmlformats.org/officeDocument/2006/customXml" ds:itemID="{75A7936F-34D3-4769-B869-7D47059B4379}"/>
</file>

<file path=customXml/itemProps3.xml><?xml version="1.0" encoding="utf-8"?>
<ds:datastoreItem xmlns:ds="http://schemas.openxmlformats.org/officeDocument/2006/customXml" ds:itemID="{0A9D8903-83BF-450E-A45D-0E25CEDC49B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Zadanie 1.1</vt:lpstr>
      <vt:lpstr>Zadanie 1.2</vt:lpstr>
      <vt:lpstr>Zadanie 1.3</vt:lpstr>
      <vt:lpstr>Zadanie 1.4</vt:lpstr>
      <vt:lpstr>Zadanie 1.5</vt:lpstr>
      <vt:lpstr>Zadanie 1.6</vt:lpstr>
      <vt:lpstr>Zadanie 1.7</vt:lpstr>
      <vt:lpstr>Zadanie 1.8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2023-02-20T17:16:11Z</dcterms:created>
  <dcterms:modified xsi:type="dcterms:W3CDTF">2024-10-12T20:10:43Z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0x0101002F55C1CD22588A40AFB229C88237300C</vt:lpwstr>
  </property>
</Properties>
</file>